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enes\Downloads\"/>
    </mc:Choice>
  </mc:AlternateContent>
  <xr:revisionPtr revIDLastSave="0" documentId="8_{BB66ED12-861D-47E9-A6FC-CD3253B49052}" xr6:coauthVersionLast="47" xr6:coauthVersionMax="47" xr10:uidLastSave="{00000000-0000-0000-0000-000000000000}"/>
  <bookViews>
    <workbookView xWindow="-23148" yWindow="-13068" windowWidth="23256" windowHeight="12456" xr2:uid="{463007BB-AEEC-46A2-B60D-A97961A23FD9}"/>
  </bookViews>
  <sheets>
    <sheet name="Portfolio Data" sheetId="1" r:id="rId1"/>
    <sheet name="Dashboard" sheetId="2" r:id="rId2"/>
    <sheet name="Assumptions" sheetId="3" r:id="rId3"/>
  </sheets>
  <definedNames>
    <definedName name="_xlnm._FilterDatabase" localSheetId="0" hidden="1">'Portfolio Data'!$A$1:$F$11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 i="1" l="1" a="1"/>
  <c r="C10" i="1" s="1"/>
  <c r="C5" i="1" a="1"/>
  <c r="C5" i="1" s="1"/>
  <c r="C7" i="1" a="1"/>
  <c r="C7" i="1" s="1"/>
  <c r="C8" i="1" a="1"/>
  <c r="C8" i="1" s="1"/>
  <c r="C11" i="1" a="1"/>
  <c r="C11" i="1" s="1"/>
  <c r="C4" i="1" a="1"/>
  <c r="C4" i="1" s="1"/>
  <c r="C6" i="1" a="1"/>
  <c r="C6" i="1" s="1"/>
  <c r="C2" i="1" a="1"/>
  <c r="C2" i="1" s="1"/>
  <c r="C3" i="1" a="1"/>
  <c r="C3" i="1" s="1"/>
  <c r="C9" i="1" a="1"/>
  <c r="C9" i="1" s="1"/>
  <c r="B10" i="1" a="1"/>
  <c r="B10" i="1" s="1"/>
  <c r="E10" i="1" s="1"/>
  <c r="B5" i="1" a="1"/>
  <c r="B5" i="1" s="1"/>
  <c r="E5" i="1" s="1"/>
  <c r="B7" i="1" a="1"/>
  <c r="B7" i="1" s="1"/>
  <c r="E7" i="1" s="1"/>
  <c r="B8" i="1" a="1"/>
  <c r="B8" i="1" s="1"/>
  <c r="E8" i="1" s="1"/>
  <c r="B11" i="1" a="1"/>
  <c r="B11" i="1" s="1"/>
  <c r="E11" i="1" s="1"/>
  <c r="B4" i="1" a="1"/>
  <c r="B4" i="1" s="1"/>
  <c r="E4" i="1" s="1"/>
  <c r="B6" i="1" a="1"/>
  <c r="B6" i="1" s="1"/>
  <c r="E6" i="1" s="1"/>
  <c r="B2" i="1" a="1"/>
  <c r="B2" i="1" s="1"/>
  <c r="E2" i="1" s="1"/>
  <c r="B3" i="1" a="1"/>
  <c r="B3" i="1" s="1"/>
  <c r="E3" i="1" s="1"/>
  <c r="B9" i="1" a="1"/>
  <c r="B9" i="1" s="1"/>
  <c r="E9" i="1" s="1"/>
  <c r="E12" i="1" l="1"/>
  <c r="F8" i="1" l="1"/>
  <c r="F6" i="1"/>
  <c r="F12" i="1"/>
  <c r="F9" i="1"/>
  <c r="F11" i="1"/>
  <c r="F5" i="1"/>
  <c r="F7" i="1"/>
  <c r="F2" i="1"/>
  <c r="F4" i="1"/>
  <c r="F10" i="1"/>
  <c r="E16" i="1"/>
  <c r="F3" i="1" l="1"/>
  <c r="F14" i="1" s="1"/>
  <c r="C22" i="2" s="1"/>
  <c r="C20"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<sst xmlns="http://schemas.openxmlformats.org/spreadsheetml/2006/main" count="18" uniqueCount="18">
  <si>
    <t>Ticker</t>
  </si>
  <si>
    <t>Price</t>
  </si>
  <si>
    <t>Change %</t>
  </si>
  <si>
    <t>Quantity</t>
  </si>
  <si>
    <t>Market Value</t>
  </si>
  <si>
    <t>Total AUM</t>
  </si>
  <si>
    <t>Weight %</t>
  </si>
  <si>
    <t>Portfolio Return</t>
  </si>
  <si>
    <t>Units Outstanding</t>
  </si>
  <si>
    <t>Trading Days</t>
  </si>
  <si>
    <t>Risk-Free Rate</t>
  </si>
  <si>
    <t>Assumptions</t>
  </si>
  <si>
    <t>Management Fee (Daily)</t>
  </si>
  <si>
    <t xml:space="preserve">Management Fee (Annual) </t>
  </si>
  <si>
    <t>Estimated Daily P&amp;L</t>
  </si>
  <si>
    <t>Portfolio Return:</t>
  </si>
  <si>
    <t xml:space="preserve">Total AUM: </t>
  </si>
  <si>
    <t>Simulated equity portfolio with dynamic pricing, allocation, and performance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</si>
</sst>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4" formatCode="_-&quot;$&quot;* #,##0.00_-;\-&quot;$&quot;* #,##0.00_-;_-&quot;$&quot;* &quot;-&quot;??_-;_-@_-"/>
    <numFmt numFmtId="172" formatCode="0.000%"/>
  </numFmts>
  <fonts count="6">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0"/>
      <color theme="1"/>
      <name val="Arial Unicode MS"/>
    </font>
    <font>
      <i/>
      <sz val="11"/>
      <color theme="1"/>
      <name val="Aptos Narrow"/>
      <family val="2"/>
      <scheme val="minor"/>
    </font>
  </fonts>
  <fills count="3">
    <fill>
      <patternFill patternType="none"/>
    </fill>
    <fill>
      <patternFill patternType="gray125"/>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2" fillId="0" borderId="0" xfId="0" applyFont="1"/>
    <xf numFmtId="0" fontId="0" fillId="0" borderId="0" xfId="0" applyFont="1"/>
    <xf numFmtId="44" fontId="3" fillId="2" borderId="1" xfId="1" applyFont="1" applyFill="1" applyBorder="1" applyAlignment="1">
      <alignment vertical="center"/>
    </xf>
    <xf numFmtId="0" fontId="3" fillId="2" borderId="2" xfId="0" applyFont="1" applyFill="1" applyBorder="1" applyAlignment="1">
      <alignment horizontal="left" vertical="top" wrapText="1"/>
    </xf>
    <xf numFmtId="0" fontId="3" fillId="2" borderId="4" xfId="0" applyFont="1" applyFill="1" applyBorder="1" applyAlignment="1">
      <alignment horizontal="left" vertical="top"/>
    </xf>
    <xf numFmtId="6" fontId="3" fillId="2" borderId="3" xfId="0" applyNumberFormat="1" applyFont="1" applyFill="1" applyBorder="1" applyAlignment="1">
      <alignment horizontal="left" vertical="top" wrapText="1"/>
    </xf>
    <xf numFmtId="0" fontId="3" fillId="2" borderId="6" xfId="0" applyFont="1" applyFill="1" applyBorder="1" applyAlignment="1">
      <alignment horizontal="center" vertical="center" wrapText="1"/>
    </xf>
    <xf numFmtId="172" fontId="3" fillId="2" borderId="5" xfId="0" applyNumberFormat="1" applyFont="1" applyFill="1" applyBorder="1" applyAlignment="1">
      <alignment horizontal="left" vertical="top" wrapText="1"/>
    </xf>
    <xf numFmtId="0" fontId="5" fillId="0" borderId="0" xfId="0" applyFont="1" applyAlignment="1">
      <alignment horizontal="left" vertical="center"/>
    </xf>
    <xf numFmtId="0" fontId="2" fillId="0" borderId="1" xfId="0" applyFont="1" applyBorder="1"/>
    <xf numFmtId="0" fontId="0" fillId="0" borderId="1" xfId="0" applyBorder="1"/>
    <xf numFmtId="10" fontId="0" fillId="0" borderId="1" xfId="0" applyNumberFormat="1" applyBorder="1"/>
    <xf numFmtId="0" fontId="0" fillId="0" borderId="1" xfId="1" applyNumberFormat="1" applyFont="1" applyBorder="1"/>
    <xf numFmtId="9" fontId="0" fillId="0" borderId="1" xfId="2" applyFont="1" applyBorder="1"/>
    <xf numFmtId="9" fontId="0" fillId="0" borderId="1" xfId="0" applyNumberFormat="1" applyBorder="1"/>
    <xf numFmtId="10" fontId="0" fillId="0" borderId="1" xfId="2" applyNumberFormat="1" applyFont="1" applyBorder="1"/>
    <xf numFmtId="44" fontId="4" fillId="0" borderId="1" xfId="1" applyFont="1" applyBorder="1" applyAlignment="1">
      <alignment vertical="center"/>
    </xf>
    <xf numFmtId="0" fontId="0" fillId="0" borderId="1" xfId="0" applyFont="1" applyBorder="1"/>
    <xf numFmtId="0" fontId="2" fillId="0" borderId="1" xfId="0"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014736"/>
      <color rgb="FF017559"/>
      <color rgb="FF019975"/>
      <color rgb="FF98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baseline="0"/>
              <a:t>Portfolio Allocation (%)</a:t>
            </a:r>
            <a:endParaRPr lang="en-CA" sz="1400" b="0"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endParaRPr lang="en-CA"/>
        </a:p>
      </c:txPr>
    </c:title>
    <c:autoTitleDeleted val="0"/>
    <c:plotArea>
      <c:layout/>
      <c:pieChart>
        <c:varyColors val="1"/>
        <c:ser>
          <c:idx val="0"/>
          <c:order val="0"/>
          <c:spPr>
            <a:solidFill>
              <a:srgbClr val="014736"/>
            </a:solidFill>
          </c:spPr>
          <c:explosion val="1"/>
          <c:dPt>
            <c:idx val="0"/>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E77-4A3D-B386-BB145091516F}"/>
              </c:ext>
            </c:extLst>
          </c:dPt>
          <c:dPt>
            <c:idx val="1"/>
            <c:bubble3D val="0"/>
            <c:spPr>
              <a:solidFill>
                <a:schemeClr val="tx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E77-4A3D-B386-BB145091516F}"/>
              </c:ext>
            </c:extLst>
          </c:dPt>
          <c:dPt>
            <c:idx val="2"/>
            <c:bubble3D val="0"/>
            <c:explosion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E77-4A3D-B386-BB145091516F}"/>
              </c:ext>
            </c:extLst>
          </c:dPt>
          <c:dPt>
            <c:idx val="3"/>
            <c:bubble3D val="0"/>
            <c:spPr>
              <a:solidFill>
                <a:schemeClr val="bg2">
                  <a:lumMod val="75000"/>
                </a:schemeClr>
              </a:solidFill>
              <a:ln>
                <a:solidFill>
                  <a:schemeClr val="bg1">
                    <a:lumMod val="9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7-9E77-4A3D-B386-BB145091516F}"/>
              </c:ext>
            </c:extLst>
          </c:dPt>
          <c:dPt>
            <c:idx val="4"/>
            <c:bubble3D val="0"/>
            <c:spPr>
              <a:solidFill>
                <a:schemeClr val="tx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E77-4A3D-B386-BB145091516F}"/>
              </c:ext>
            </c:extLst>
          </c:dPt>
          <c:dPt>
            <c:idx val="5"/>
            <c:bubble3D val="0"/>
            <c:spPr>
              <a:solidFill>
                <a:schemeClr val="tx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E77-4A3D-B386-BB145091516F}"/>
              </c:ext>
            </c:extLst>
          </c:dPt>
          <c:dPt>
            <c:idx val="6"/>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E77-4A3D-B386-BB145091516F}"/>
              </c:ext>
            </c:extLst>
          </c:dPt>
          <c:dPt>
            <c:idx val="7"/>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E77-4A3D-B386-BB145091516F}"/>
              </c:ext>
            </c:extLst>
          </c:dPt>
          <c:dPt>
            <c:idx val="8"/>
            <c:bubble3D val="0"/>
            <c:spPr>
              <a:solidFill>
                <a:schemeClr val="tx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E77-4A3D-B386-BB145091516F}"/>
              </c:ext>
            </c:extLst>
          </c:dPt>
          <c:dPt>
            <c:idx val="9"/>
            <c:bubble3D val="0"/>
            <c:spPr>
              <a:solidFill>
                <a:schemeClr val="accent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E77-4A3D-B386-BB14509151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'Portfolio Data'!$A$2:$A$11</c:f>
              <c:strCache>
                <c:ptCount val="10"/>
                <c:pt idx="0">
                  <c:v>EXXON MOBIL CORPORATION (XNYS:XOM)</c:v>
                </c:pt>
                <c:pt idx="1">
                  <c:v>UNITEDHEALTH GROUP INCORPORATED (XNYS:UNH)</c:v>
                </c:pt>
                <c:pt idx="2">
                  <c:v>TESLA, INC. (XNAS:TSLA)</c:v>
                </c:pt>
                <c:pt idx="3">
                  <c:v>NVIDIA CORPORATION (XNAS:NVDA)</c:v>
                </c:pt>
                <c:pt idx="4">
                  <c:v>JPMORGAN CHASE &amp; CO. (XNYS:JPM)</c:v>
                </c:pt>
                <c:pt idx="5">
                  <c:v>AMAZON.COM, INC. (XNAS:AMZN)</c:v>
                </c:pt>
                <c:pt idx="6">
                  <c:v>ALPHABET INC. (XNAS:GOOGL)</c:v>
                </c:pt>
                <c:pt idx="7">
                  <c:v>APPLE INC. (XNAS:AAPL)</c:v>
                </c:pt>
                <c:pt idx="8">
                  <c:v>MICROSOFT CORPORATION (XNAS:MSFT)</c:v>
                </c:pt>
                <c:pt idx="9">
                  <c:v>META PLATFORMS, INC. (XNAS:META)</c:v>
                </c:pt>
              </c:strCache>
            </c:strRef>
          </c:cat>
          <c:val>
            <c:numRef>
              <c:f>'Portfolio Data'!$E$2:$E$11</c:f>
              <c:numCache>
                <c:formatCode>General</c:formatCode>
                <c:ptCount val="10"/>
                <c:pt idx="0">
                  <c:v>4582.5</c:v>
                </c:pt>
                <c:pt idx="1">
                  <c:v>9219.5</c:v>
                </c:pt>
                <c:pt idx="2">
                  <c:v>5862.3</c:v>
                </c:pt>
                <c:pt idx="3">
                  <c:v>5953.5</c:v>
                </c:pt>
                <c:pt idx="4">
                  <c:v>6249.4000000000005</c:v>
                </c:pt>
                <c:pt idx="5">
                  <c:v>6706.5</c:v>
                </c:pt>
                <c:pt idx="6">
                  <c:v>7713.8</c:v>
                </c:pt>
                <c:pt idx="7">
                  <c:v>14007</c:v>
                </c:pt>
                <c:pt idx="8">
                  <c:v>16577.599999999999</c:v>
                </c:pt>
                <c:pt idx="9">
                  <c:v>21306.075000000001</c:v>
                </c:pt>
              </c:numCache>
            </c:numRef>
          </c:val>
          <c:extLst>
            <c:ext xmlns:c16="http://schemas.microsoft.com/office/drawing/2014/chart" uri="{C3380CC4-5D6E-409C-BE32-E72D297353CC}">
              <c16:uniqueId val="{00000014-9E77-4A3D-B386-BB145091516F}"/>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baseline="0"/>
              <a:t>Top Holdings (Ranked by Weight)</a:t>
            </a:r>
            <a:endParaRPr lang="en-CA" sz="1400" b="0"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endParaRPr lang="en-CA"/>
        </a:p>
      </c:txPr>
    </c:title>
    <c:autoTitleDeleted val="0"/>
    <c:plotArea>
      <c:layout/>
      <c:barChart>
        <c:barDir val="bar"/>
        <c:grouping val="clustered"/>
        <c:varyColors val="0"/>
        <c:ser>
          <c:idx val="0"/>
          <c:order val="0"/>
          <c:spPr>
            <a:solidFill>
              <a:schemeClr val="accent1"/>
            </a:solidFill>
            <a:ln>
              <a:noFill/>
            </a:ln>
            <a:effectLst/>
          </c:spPr>
          <c:invertIfNegative val="0"/>
          <c:cat>
            <c:strRef>
              <c:f>'Portfolio Data'!$A$2:$A$11</c:f>
              <c:strCache>
                <c:ptCount val="10"/>
                <c:pt idx="0">
                  <c:v>EXXON MOBIL CORPORATION (XNYS:XOM)</c:v>
                </c:pt>
                <c:pt idx="1">
                  <c:v>UNITEDHEALTH GROUP INCORPORATED (XNYS:UNH)</c:v>
                </c:pt>
                <c:pt idx="2">
                  <c:v>TESLA, INC. (XNAS:TSLA)</c:v>
                </c:pt>
                <c:pt idx="3">
                  <c:v>NVIDIA CORPORATION (XNAS:NVDA)</c:v>
                </c:pt>
                <c:pt idx="4">
                  <c:v>JPMORGAN CHASE &amp; CO. (XNYS:JPM)</c:v>
                </c:pt>
                <c:pt idx="5">
                  <c:v>AMAZON.COM, INC. (XNAS:AMZN)</c:v>
                </c:pt>
                <c:pt idx="6">
                  <c:v>ALPHABET INC. (XNAS:GOOGL)</c:v>
                </c:pt>
                <c:pt idx="7">
                  <c:v>APPLE INC. (XNAS:AAPL)</c:v>
                </c:pt>
                <c:pt idx="8">
                  <c:v>MICROSOFT CORPORATION (XNAS:MSFT)</c:v>
                </c:pt>
                <c:pt idx="9">
                  <c:v>META PLATFORMS, INC. (XNAS:META)</c:v>
                </c:pt>
              </c:strCache>
            </c:strRef>
          </c:cat>
          <c:val>
            <c:numRef>
              <c:f>'Portfolio Data'!$F$2:$F$11</c:f>
              <c:numCache>
                <c:formatCode>0%</c:formatCode>
                <c:ptCount val="10"/>
                <c:pt idx="0">
                  <c:v>4.6675343068864339E-2</c:v>
                </c:pt>
                <c:pt idx="1">
                  <c:v>4.6675343068864339E-2</c:v>
                </c:pt>
                <c:pt idx="2">
                  <c:v>5.9710826769798886E-2</c:v>
                </c:pt>
                <c:pt idx="3">
                  <c:v>6.0639750127765159E-2</c:v>
                </c:pt>
                <c:pt idx="4">
                  <c:v>6.3653658259587742E-2</c:v>
                </c:pt>
                <c:pt idx="5">
                  <c:v>6.8309479168868231E-2</c:v>
                </c:pt>
                <c:pt idx="6">
                  <c:v>7.8569396915353126E-2</c:v>
                </c:pt>
                <c:pt idx="7">
                  <c:v>0.14266918284027993</c:v>
                </c:pt>
                <c:pt idx="8">
                  <c:v>0.16885219143664057</c:v>
                </c:pt>
                <c:pt idx="9">
                  <c:v>0.21701437208422342</c:v>
                </c:pt>
              </c:numCache>
            </c:numRef>
          </c:val>
          <c:extLst>
            <c:ext xmlns:c16="http://schemas.microsoft.com/office/drawing/2014/chart" uri="{C3380CC4-5D6E-409C-BE32-E72D297353CC}">
              <c16:uniqueId val="{00000000-A0FB-46D8-A457-3B89BD69C2C5}"/>
            </c:ext>
          </c:extLst>
        </c:ser>
        <c:dLbls>
          <c:showLegendKey val="0"/>
          <c:showVal val="0"/>
          <c:showCatName val="0"/>
          <c:showSerName val="0"/>
          <c:showPercent val="0"/>
          <c:showBubbleSize val="0"/>
        </c:dLbls>
        <c:gapWidth val="182"/>
        <c:axId val="1737184432"/>
        <c:axId val="1737186352"/>
      </c:barChart>
      <c:catAx>
        <c:axId val="173718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86352"/>
        <c:crosses val="autoZero"/>
        <c:auto val="1"/>
        <c:lblAlgn val="ctr"/>
        <c:lblOffset val="100"/>
        <c:noMultiLvlLbl val="0"/>
      </c:catAx>
      <c:valAx>
        <c:axId val="1737186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8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8890</xdr:colOff>
      <xdr:row>16</xdr:row>
      <xdr:rowOff>105410</xdr:rowOff>
    </xdr:to>
    <xdr:graphicFrame macro="">
      <xdr:nvGraphicFramePr>
        <xdr:cNvPr id="2" name="Chart 1">
          <a:extLst>
            <a:ext uri="{FF2B5EF4-FFF2-40B4-BE49-F238E27FC236}">
              <a16:creationId xmlns:a16="http://schemas.microsoft.com/office/drawing/2014/main" id="{4AAE7D70-1C18-49DD-8504-8DF099A60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xdr:row>
      <xdr:rowOff>0</xdr:rowOff>
    </xdr:from>
    <xdr:to>
      <xdr:col>15</xdr:col>
      <xdr:colOff>0</xdr:colOff>
      <xdr:row>16</xdr:row>
      <xdr:rowOff>0</xdr:rowOff>
    </xdr:to>
    <xdr:graphicFrame macro="">
      <xdr:nvGraphicFramePr>
        <xdr:cNvPr id="3" name="Chart 2">
          <a:extLst>
            <a:ext uri="{FF2B5EF4-FFF2-40B4-BE49-F238E27FC236}">
              <a16:creationId xmlns:a16="http://schemas.microsoft.com/office/drawing/2014/main" id="{2DAC9226-52E7-427B-90F4-8BA54B119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4">
  <rv s="0">
    <v>https://www.bing.com/financeapi/forcetrigger?t=a269ec&amp;q=XNYS%3aXOM&amp;form=skydnc</v>
    <v>Learn more on Bing</v>
  </rv>
  <rv s="1">
    <v>en-CA</v>
    <v>a269ec</v>
    <v>268435456</v>
    <v>1</v>
    <v>Powered by Refinitiv</v>
    <v>0</v>
    <v>EXXON MOBIL CORPORATION (XNYS:XOM)</v>
    <v>2</v>
    <v>3</v>
    <v>Finance</v>
    <v>4</v>
    <v>176.41</v>
    <v>101.185</v>
    <v>0.1835</v>
    <v>-1.58</v>
    <v>-1.6370000000000002E-3</v>
    <v>-1.0238000000000001E-2</v>
    <v>-0.25</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155.01</v>
    <v>Oil &amp; Gas</v>
    <v>Stock</v>
    <v>46143.999870485939</v>
    <v>0</v>
    <v>151.13</v>
    <v>634914540000</v>
    <v>EXXON MOBIL CORPORATION</v>
    <v>EXXON MOBIL CORPORATION</v>
    <v>152.61000000000001</v>
    <v>25.838200000000001</v>
    <v>154.33000000000001</v>
    <v>152.75</v>
    <v>152.5</v>
    <v>4156560000</v>
    <v>XOM</v>
    <v>EXXON MOBIL CORPORATION (XNYS:XOM)</v>
    <v>15458208</v>
    <v>21274761</v>
    <v>1882</v>
  </rv>
  <rv s="2">
    <v>1</v>
  </rv>
  <rv s="0">
    <v>https://www.bing.com/financeapi/forcetrigger?t=a24xlh&amp;q=XNYS%3aUNH&amp;form=skydnc</v>
    <v>Learn more on Bing</v>
  </rv>
  <rv s="1">
    <v>en-CA</v>
    <v>a24xlh</v>
    <v>268435456</v>
    <v>1</v>
    <v>Powered by Refinitiv</v>
    <v>0</v>
    <v>UNITEDHEALTH GROUP INCORPORATED (XNYS:UNH)</v>
    <v>2</v>
    <v>3</v>
    <v>Finance</v>
    <v>4</v>
    <v>411.99</v>
    <v>234.6</v>
    <v>0.64649999999999996</v>
    <v>-1.7</v>
    <v>-1.8440000000000002E-3</v>
    <v>-4.5889999999999993E-3</v>
    <v>-0.68</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372.9</v>
    <v>Healthcare Providers &amp; Services</v>
    <v>Stock</v>
    <v>46143.999832546091</v>
    <v>3</v>
    <v>367.02</v>
    <v>334930863896</v>
    <v>UNITEDHEALTH GROUP INCORPORATED</v>
    <v>UNITEDHEALTH GROUP INCORPORATED</v>
    <v>371.96</v>
    <v>27.851600000000001</v>
    <v>370.48</v>
    <v>368.78</v>
    <v>368.1</v>
    <v>908213200</v>
    <v>UNH</v>
    <v>UNITEDHEALTH GROUP INCORPORATED (XNYS:UNH)</v>
    <v>4945442</v>
    <v>9025081</v>
    <v>2015</v>
  </rv>
  <rv s="2">
    <v>4</v>
  </rv>
  <rv s="0">
    <v>https://www.bing.com/financeapi/forcetrigger?t=a24kar&amp;q=XNAS%3aTSLA&amp;form=skydnc</v>
    <v>Learn more on Bing</v>
  </rv>
  <rv s="1">
    <v>en-CA</v>
    <v>a24kar</v>
    <v>268435456</v>
    <v>1</v>
    <v>Powered by Refinitiv</v>
    <v>0</v>
    <v>TESLA, INC. (XNAS:TSLA)</v>
    <v>2</v>
    <v>3</v>
    <v>Finance</v>
    <v>4</v>
    <v>498.83</v>
    <v>271</v>
    <v>1.7927</v>
    <v>9.19</v>
    <v>1.3309999999999999E-3</v>
    <v>2.4081000000000002E-2</v>
    <v>0.52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397.8211</v>
    <v>Automobiles &amp; Auto Parts</v>
    <v>Stock</v>
    <v>46143.999987407034</v>
    <v>6</v>
    <v>378.8</v>
    <v>1467812053680</v>
    <v>TESLA, INC.</v>
    <v>TESLA, INC.</v>
    <v>382.48500000000001</v>
    <v>357.20679999999999</v>
    <v>381.63</v>
    <v>390.82</v>
    <v>391.34</v>
    <v>3755724000</v>
    <v>TSLA</v>
    <v>TESLA, INC. (XNAS:TSLA)</v>
    <v>65338257</v>
    <v>67093130</v>
    <v>2024</v>
  </rv>
  <rv s="2">
    <v>7</v>
  </rv>
  <rv s="0">
    <v>https://www.bing.com/financeapi/forcetrigger?t=a1yv52&amp;q=XNAS%3aNVDA&amp;form=skydnc</v>
    <v>Learn more on Bing</v>
  </rv>
  <rv s="1">
    <v>en-CA</v>
    <v>a1yv52</v>
    <v>268435456</v>
    <v>1</v>
    <v>Powered by Refinitiv</v>
    <v>0</v>
    <v>NVIDIA CORPORATION (XNAS:NVDA)</v>
    <v>2</v>
    <v>3</v>
    <v>Finance</v>
    <v>4</v>
    <v>216.82499999999999</v>
    <v>110.822</v>
    <v>2.2433000000000001</v>
    <v>-1.1200000000000001</v>
    <v>-1.663E-3</v>
    <v>-5.6120000000000007E-3</v>
    <v>-0.33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203</v>
    <v>Semiconductors &amp; Semiconductor Equipment</v>
    <v>Stock</v>
    <v>46143.99999177031</v>
    <v>9</v>
    <v>197.12</v>
    <v>4822335000000</v>
    <v>NVIDIA CORPORATION</v>
    <v>NVIDIA CORPORATION</v>
    <v>201.28</v>
    <v>40.485100000000003</v>
    <v>199.57</v>
    <v>198.45</v>
    <v>198.12</v>
    <v>24300000000</v>
    <v>NVDA</v>
    <v>NVIDIA CORPORATION (XNAS:NVDA)</v>
    <v>128646996</v>
    <v>156948876</v>
    <v>1998</v>
  </rv>
  <rv s="2">
    <v>10</v>
  </rv>
  <rv s="0">
    <v>https://www.bing.com/financeapi/forcetrigger?t=a1waa2&amp;q=XNYS%3aJPM&amp;form=skydnc</v>
    <v>Learn more on Bing</v>
  </rv>
  <rv s="1">
    <v>en-CA</v>
    <v>a1waa2</v>
    <v>268435456</v>
    <v>1</v>
    <v>Powered by Refinitiv</v>
    <v>0</v>
    <v>JPMORGAN CHASE &amp; CO. (XNYS:JPM)</v>
    <v>2</v>
    <v>3</v>
    <v>Finance</v>
    <v>4</v>
    <v>337.25</v>
    <v>242.17</v>
    <v>1.0226999999999999</v>
    <v>-0.76</v>
    <v>-2.3250000000000002E-3</v>
    <v>-2.4260000000000002E-3</v>
    <v>-0.72640000000000005</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320079</v>
    <v>New York Stock Exchange</v>
    <v>XNYS</v>
    <v>XNYS</v>
    <v>270 Park Avenue, NEW YORK, NY, 10017 US</v>
    <v>316.08</v>
    <v>Banking Services</v>
    <v>Stock</v>
    <v>46143.999936365624</v>
    <v>12</v>
    <v>311.83</v>
    <v>838113283400</v>
    <v>JPMORGAN CHASE &amp; CO.</v>
    <v>JPMORGAN CHASE &amp; CO.</v>
    <v>313.95</v>
    <v>14.963900000000001</v>
    <v>313.23</v>
    <v>312.47000000000003</v>
    <v>311.74360000000001</v>
    <v>2682220000</v>
    <v>JPM</v>
    <v>JPMORGAN CHASE &amp; CO. (XNYS:JPM)</v>
    <v>6135359</v>
    <v>8646685</v>
    <v>1968</v>
  </rv>
  <rv s="2">
    <v>13</v>
  </rv>
  <rv s="0">
    <v>https://www.bing.com/financeapi/forcetrigger?t=a1nhlh&amp;q=XNAS%3aAMZN&amp;form=skydnc</v>
    <v>Learn more on Bing</v>
  </rv>
  <rv s="1">
    <v>en-CA</v>
    <v>a1nhlh</v>
    <v>268435456</v>
    <v>1</v>
    <v>Powered by Refinitiv</v>
    <v>0</v>
    <v>AMAZON.COM, INC. (XNAS:AMZN)</v>
    <v>2</v>
    <v>3</v>
    <v>Finance</v>
    <v>4</v>
    <v>273.88</v>
    <v>183.85</v>
    <v>1.4679</v>
    <v>3.2</v>
    <v>-2.199E-3</v>
    <v>1.2073E-2</v>
    <v>-0.59</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273.315</v>
    <v>Diversified Retail</v>
    <v>Stock</v>
    <v>46143.999998251566</v>
    <v>15</v>
    <v>262.74</v>
    <v>2884972661400</v>
    <v>AMAZON.COM, INC.</v>
    <v>AMAZON.COM, INC.</v>
    <v>265.58</v>
    <v>32.058999999999997</v>
    <v>265.06</v>
    <v>268.26</v>
    <v>267.67</v>
    <v>10754390000</v>
    <v>AMZN</v>
    <v>AMAZON.COM, INC. (XNAS:AMZN)</v>
    <v>50825231</v>
    <v>49444501</v>
    <v>1996</v>
  </rv>
  <rv s="2">
    <v>16</v>
  </rv>
  <rv s="0">
    <v>https://www.bing.com/financeapi/forcetrigger?t=a1u3rw&amp;q=XNAS%3aGOOGL&amp;form=skydnc</v>
    <v>Learn more on Bing</v>
  </rv>
  <rv s="1">
    <v>en-CA</v>
    <v>a1u3rw</v>
    <v>268435456</v>
    <v>1</v>
    <v>Powered by Refinitiv</v>
    <v>0</v>
    <v>ALPHABET INC. (XNAS:GOOGL)</v>
    <v>2</v>
    <v>3</v>
    <v>Finance</v>
    <v>4</v>
    <v>386.76</v>
    <v>147.84</v>
    <v>1.2665999999999999</v>
    <v>0.89</v>
    <v>-8.9709999999999996E-4</v>
    <v>2.313E-3</v>
    <v>-0.34599999999999997</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386.76</v>
    <v>Software &amp; IT Services</v>
    <v>Stock</v>
    <v>46143.999938437497</v>
    <v>18</v>
    <v>379.05</v>
    <v>4672804053600</v>
    <v>ALPHABET INC.</v>
    <v>ALPHABET INC.</v>
    <v>381.63</v>
    <v>29.3292</v>
    <v>384.8</v>
    <v>385.69</v>
    <v>385.34399999999999</v>
    <v>12115440000</v>
    <v>GOOGL</v>
    <v>ALPHABET INC. (XNAS:GOOGL)</v>
    <v>30105226</v>
    <v>28746126</v>
    <v>2015</v>
  </rv>
  <rv s="2">
    <v>19</v>
  </rv>
  <rv s="0">
    <v>https://www.bing.com/financeapi/forcetrigger?t=a1mou2&amp;q=XNAS%3aAAPL&amp;form=skydnc</v>
    <v>Learn more on Bing</v>
  </rv>
  <rv s="1">
    <v>en-CA</v>
    <v>a1mou2</v>
    <v>268435456</v>
    <v>1</v>
    <v>Powered by Refinitiv</v>
    <v>0</v>
    <v>APPLE INC. (XNAS:AAPL)</v>
    <v>2</v>
    <v>3</v>
    <v>Finance</v>
    <v>4</v>
    <v>288.62</v>
    <v>193.25</v>
    <v>1.0647</v>
    <v>8.7899999999999991</v>
    <v>-2.499E-4</v>
    <v>3.2393999999999999E-2</v>
    <v>-7.0000000000000007E-2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287.22000000000003</v>
    <v>Computers, Phones &amp; Household Electronics</v>
    <v>Stock</v>
    <v>46143.999995995313</v>
    <v>21</v>
    <v>278.37</v>
    <v>4112774559600</v>
    <v>APPLE INC.</v>
    <v>APPLE INC.</v>
    <v>278.85500000000002</v>
    <v>32.955500000000001</v>
    <v>271.35000000000002</v>
    <v>280.14</v>
    <v>280.07</v>
    <v>14681140000</v>
    <v>AAPL</v>
    <v>APPLE INC. (XNAS:AAPL)</v>
    <v>79915442</v>
    <v>43451177</v>
    <v>1977</v>
  </rv>
  <rv s="2">
    <v>22</v>
  </rv>
  <rv s="0">
    <v>http://en.wikipedia.org/wiki/Public_domain</v>
    <v>Public domain</v>
  </rv>
  <rv s="0">
    <v>https://en.wikipedia.org/wiki/Microsoft</v>
    <v>Wikipedia</v>
  </rv>
  <rv s="3">
    <v>24</v>
    <v>25</v>
  </rv>
  <rv s="4">
    <v>9</v>
    <v>https://www.bing.com/th?id=AMMS_e6e837c7bf3a77408619758b7447855a&amp;qlt=95</v>
    <v>26</v>
    <v>0</v>
    <v>https://www.bing.com/images/search?form=xlimg&amp;q=microsoft</v>
    <v>Image of MICROSOFT CORPORATION</v>
  </rv>
  <rv s="0">
    <v>https://www.bing.com/financeapi/forcetrigger?t=a1xzim&amp;q=XNAS%3aMSFT&amp;form=skydnc</v>
    <v>Learn more on Bing</v>
  </rv>
  <rv s="5">
    <v>en-CA</v>
    <v>a1xzim</v>
    <v>268435456</v>
    <v>1</v>
    <v>Powered by Refinitiv</v>
    <v>5</v>
    <v>MICROSOFT CORPORATION (XNAS:MSFT)</v>
    <v>7</v>
    <v>8</v>
    <v>Finance</v>
    <v>4</v>
    <v>555.45000000000005</v>
    <v>356.28</v>
    <v>1.0931</v>
    <v>6.66</v>
    <v>-2.892E-3</v>
    <v>1.6331999999999999E-2</v>
    <v>-1.1983999999999999</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417.11</v>
    <v>27</v>
    <v>Software &amp; IT Services</v>
    <v>Stock</v>
    <v>46143.999984779686</v>
    <v>28</v>
    <v>410.435</v>
    <v>3078640601400</v>
    <v>MICROSOFT CORPORATION</v>
    <v>MICROSOFT CORPORATION</v>
    <v>412.8</v>
    <v>24.6843</v>
    <v>407.78</v>
    <v>414.44</v>
    <v>413.24160000000001</v>
    <v>7428435000</v>
    <v>MSFT</v>
    <v>MICROSOFT CORPORATION (XNAS:MSFT)</v>
    <v>31372361</v>
    <v>35251215</v>
    <v>1993</v>
  </rv>
  <rv s="2">
    <v>29</v>
  </rv>
  <rv s="0">
    <v>https://www.bing.com/financeapi/forcetrigger?t=a1slm7&amp;q=XNAS%3aMETA&amp;form=skydnc</v>
    <v>Learn more on Bing</v>
  </rv>
  <rv s="1">
    <v>en-CA</v>
    <v>a1slm7</v>
    <v>268435456</v>
    <v>1</v>
    <v>Powered by Refinitiv</v>
    <v>0</v>
    <v>META PLATFORMS, INC. (XNAS:META)</v>
    <v>2</v>
    <v>3</v>
    <v>Finance</v>
    <v>4</v>
    <v>796.25</v>
    <v>520.26</v>
    <v>1.2426999999999999</v>
    <v>-3.165</v>
    <v>1.091E-4</v>
    <v>-5.1719999999999995E-3</v>
    <v>6.6400000000000001E-2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618.88</v>
    <v>Software &amp; IT Services</v>
    <v>Stock</v>
    <v>46143.999972881247</v>
    <v>31</v>
    <v>606.11</v>
    <v>1545252309135</v>
    <v>META PLATFORMS, INC.</v>
    <v>META PLATFORMS, INC.</v>
    <v>614.69000000000005</v>
    <v>18.464200000000002</v>
    <v>611.91</v>
    <v>608.745</v>
    <v>608.81140000000005</v>
    <v>2538423000</v>
    <v>META</v>
    <v>META PLATFORMS, INC. (XNAS:META)</v>
    <v>21404028</v>
    <v>18434452</v>
    <v>2004</v>
  </rv>
  <rv s="2">
    <v>32</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98FB-1551-4F90-85BB-691682F67F9D}">
  <dimension ref="A1:F16"/>
  <sheetViews>
    <sheetView tabSelected="1" workbookViewId="0">
      <selection activeCell="I13" sqref="I13"/>
    </sheetView>
  </sheetViews>
  <sheetFormatPr defaultRowHeight="14.5"/>
  <cols>
    <col min="1" max="1" width="46.6328125" bestFit="1" customWidth="1"/>
    <col min="5" max="5" width="11.1796875" bestFit="1" customWidth="1"/>
  </cols>
  <sheetData>
    <row r="1" spans="1:6" s="1" customFormat="1">
      <c r="A1" s="10" t="s">
        <v>0</v>
      </c>
      <c r="B1" s="10" t="s">
        <v>1</v>
      </c>
      <c r="C1" s="10" t="s">
        <v>2</v>
      </c>
      <c r="D1" s="10" t="s">
        <v>3</v>
      </c>
      <c r="E1" s="10" t="s">
        <v>4</v>
      </c>
      <c r="F1" s="10" t="s">
        <v>6</v>
      </c>
    </row>
    <row r="2" spans="1:6">
      <c r="A2" s="11" t="e" vm="1">
        <v>#VALUE!</v>
      </c>
      <c r="B2" s="11" cm="1">
        <f t="array" aca="1" ref="B2" ca="1">_FV(A2,"Price")</f>
        <v>152.75</v>
      </c>
      <c r="C2" s="12" cm="1">
        <f t="array" aca="1" ref="C2" ca="1">_FV(A2,"Change (%)",TRUE)</f>
        <v>-1.0238000000000001E-2</v>
      </c>
      <c r="D2" s="11">
        <v>30</v>
      </c>
      <c r="E2" s="13">
        <f ca="1">B2*D2</f>
        <v>4582.5</v>
      </c>
      <c r="F2" s="14">
        <f ca="1">E2/$E$12</f>
        <v>4.6675343068864339E-2</v>
      </c>
    </row>
    <row r="3" spans="1:6">
      <c r="A3" s="11" t="e" vm="2">
        <v>#VALUE!</v>
      </c>
      <c r="B3" s="11" cm="1">
        <f t="array" aca="1" ref="B3" ca="1">_FV(A3,"Price")</f>
        <v>368.78</v>
      </c>
      <c r="C3" s="12" cm="1">
        <f t="array" aca="1" ref="C3" ca="1">_FV(A3,"Change (%)",TRUE)</f>
        <v>-4.5889999999999993E-3</v>
      </c>
      <c r="D3" s="11">
        <v>25</v>
      </c>
      <c r="E3" s="13">
        <f ca="1">B3*D3</f>
        <v>9219.5</v>
      </c>
      <c r="F3" s="15">
        <f ca="1">SUM(F2:F2)</f>
        <v>4.6675343068864339E-2</v>
      </c>
    </row>
    <row r="4" spans="1:6">
      <c r="A4" s="11" t="e" vm="3">
        <v>#VALUE!</v>
      </c>
      <c r="B4" s="11" cm="1">
        <f t="array" aca="1" ref="B4" ca="1">_FV(A4,"Price")</f>
        <v>390.82</v>
      </c>
      <c r="C4" s="12" cm="1">
        <f t="array" aca="1" ref="C4" ca="1">_FV(A4,"Change (%)",TRUE)</f>
        <v>2.4081000000000002E-2</v>
      </c>
      <c r="D4" s="11">
        <v>15</v>
      </c>
      <c r="E4" s="13">
        <f ca="1">B4*D4</f>
        <v>5862.3</v>
      </c>
      <c r="F4" s="14">
        <f ca="1">E4/$E$12</f>
        <v>5.9710826769798886E-2</v>
      </c>
    </row>
    <row r="5" spans="1:6">
      <c r="A5" s="11" t="e" vm="4">
        <v>#VALUE!</v>
      </c>
      <c r="B5" s="11" cm="1">
        <f t="array" aca="1" ref="B5" ca="1">_FV(A5,"Price")</f>
        <v>198.45</v>
      </c>
      <c r="C5" s="12" cm="1">
        <f t="array" aca="1" ref="C5" ca="1">_FV(A5,"Change (%)",TRUE)</f>
        <v>-5.6120000000000007E-3</v>
      </c>
      <c r="D5" s="11">
        <v>30</v>
      </c>
      <c r="E5" s="13">
        <f ca="1">B5*D5</f>
        <v>5953.5</v>
      </c>
      <c r="F5" s="14">
        <f ca="1">E5/$E$12</f>
        <v>6.0639750127765159E-2</v>
      </c>
    </row>
    <row r="6" spans="1:6">
      <c r="A6" s="11" t="e" vm="5">
        <v>#VALUE!</v>
      </c>
      <c r="B6" s="11" cm="1">
        <f t="array" aca="1" ref="B6" ca="1">_FV(A6,"Price")</f>
        <v>312.47000000000003</v>
      </c>
      <c r="C6" s="12" cm="1">
        <f t="array" aca="1" ref="C6" ca="1">_FV(A6,"Change (%)",TRUE)</f>
        <v>-2.4260000000000002E-3</v>
      </c>
      <c r="D6" s="11">
        <v>20</v>
      </c>
      <c r="E6" s="13">
        <f ca="1">B6*D6</f>
        <v>6249.4000000000005</v>
      </c>
      <c r="F6" s="14">
        <f ca="1">E6/$E$12</f>
        <v>6.3653658259587742E-2</v>
      </c>
    </row>
    <row r="7" spans="1:6">
      <c r="A7" s="11" t="e" vm="6">
        <v>#VALUE!</v>
      </c>
      <c r="B7" s="11" cm="1">
        <f t="array" aca="1" ref="B7" ca="1">_FV(A7,"Price")</f>
        <v>268.26</v>
      </c>
      <c r="C7" s="12" cm="1">
        <f t="array" aca="1" ref="C7" ca="1">_FV(A7,"Change (%)",TRUE)</f>
        <v>1.2073E-2</v>
      </c>
      <c r="D7" s="11">
        <v>25</v>
      </c>
      <c r="E7" s="13">
        <f ca="1">B7*D7</f>
        <v>6706.5</v>
      </c>
      <c r="F7" s="14">
        <f ca="1">E7/$E$12</f>
        <v>6.8309479168868231E-2</v>
      </c>
    </row>
    <row r="8" spans="1:6">
      <c r="A8" s="11" t="e" vm="7">
        <v>#VALUE!</v>
      </c>
      <c r="B8" s="11" cm="1">
        <f t="array" aca="1" ref="B8" ca="1">_FV(A8,"Price")</f>
        <v>385.69</v>
      </c>
      <c r="C8" s="12" cm="1">
        <f t="array" aca="1" ref="C8" ca="1">_FV(A8,"Change (%)",TRUE)</f>
        <v>2.313E-3</v>
      </c>
      <c r="D8" s="11">
        <v>20</v>
      </c>
      <c r="E8" s="13">
        <f ca="1">B8*D8</f>
        <v>7713.8</v>
      </c>
      <c r="F8" s="14">
        <f ca="1">E8/$E$12</f>
        <v>7.8569396915353126E-2</v>
      </c>
    </row>
    <row r="9" spans="1:6">
      <c r="A9" s="11" t="e" vm="8">
        <v>#VALUE!</v>
      </c>
      <c r="B9" s="11" cm="1">
        <f t="array" aca="1" ref="B9" ca="1">_FV(A9,"Price")</f>
        <v>280.14</v>
      </c>
      <c r="C9" s="12" cm="1">
        <f t="array" aca="1" ref="C9" ca="1">_FV(A9,"Change (%)",TRUE)</f>
        <v>3.2393999999999999E-2</v>
      </c>
      <c r="D9" s="11">
        <v>50</v>
      </c>
      <c r="E9" s="13">
        <f ca="1">B9*D9</f>
        <v>14007</v>
      </c>
      <c r="F9" s="14">
        <f ca="1">E9/$E$12</f>
        <v>0.14266918284027993</v>
      </c>
    </row>
    <row r="10" spans="1:6">
      <c r="A10" s="11" t="e" vm="9">
        <v>#VALUE!</v>
      </c>
      <c r="B10" s="11" cm="1">
        <f t="array" aca="1" ref="B10" ca="1">_FV(A10,"Price")</f>
        <v>414.44</v>
      </c>
      <c r="C10" s="12" cm="1">
        <f t="array" aca="1" ref="C10" ca="1">_FV(A10,"Change (%)",TRUE)</f>
        <v>1.6331999999999999E-2</v>
      </c>
      <c r="D10" s="11">
        <v>40</v>
      </c>
      <c r="E10" s="13">
        <f ca="1">B10*D10</f>
        <v>16577.599999999999</v>
      </c>
      <c r="F10" s="14">
        <f ca="1">E10/$E$12</f>
        <v>0.16885219143664057</v>
      </c>
    </row>
    <row r="11" spans="1:6">
      <c r="A11" s="11" t="e" vm="10">
        <v>#VALUE!</v>
      </c>
      <c r="B11" s="11" cm="1">
        <f t="array" aca="1" ref="B11" ca="1">_FV(A11,"Price")</f>
        <v>608.745</v>
      </c>
      <c r="C11" s="12" cm="1">
        <f t="array" aca="1" ref="C11" ca="1">_FV(A11,"Change (%)",TRUE)</f>
        <v>-5.1719999999999995E-3</v>
      </c>
      <c r="D11" s="11">
        <v>35</v>
      </c>
      <c r="E11" s="13">
        <f ca="1">B11*D11</f>
        <v>21306.075000000001</v>
      </c>
      <c r="F11" s="14">
        <f ca="1">E11/$E$12</f>
        <v>0.21701437208422342</v>
      </c>
    </row>
    <row r="12" spans="1:6">
      <c r="A12" s="10" t="s">
        <v>5</v>
      </c>
      <c r="B12" s="11"/>
      <c r="C12" s="11"/>
      <c r="D12" s="11"/>
      <c r="E12" s="13">
        <f ca="1">SUM(E2:E11)</f>
        <v>98178.175000000003</v>
      </c>
      <c r="F12" s="14">
        <f ca="1">E12/$E$12</f>
        <v>1</v>
      </c>
    </row>
    <row r="14" spans="1:6">
      <c r="A14" s="10" t="s">
        <v>7</v>
      </c>
      <c r="B14" s="11"/>
      <c r="C14" s="11"/>
      <c r="D14" s="11"/>
      <c r="E14" s="11"/>
      <c r="F14" s="16">
        <f ca="1">SUMPRODUCT(F2:F11, C2:C11)</f>
        <v>7.5144595792292932E-3</v>
      </c>
    </row>
    <row r="16" spans="1:6">
      <c r="A16" s="10" t="s">
        <v>12</v>
      </c>
      <c r="B16" s="11"/>
      <c r="C16" s="11"/>
      <c r="D16" s="11"/>
      <c r="E16" s="17">
        <f ca="1">E12 * Assumptions!B3 / 252</f>
        <v>11.687877976190476</v>
      </c>
    </row>
  </sheetData>
  <sortState xmlns:xlrd2="http://schemas.microsoft.com/office/spreadsheetml/2017/richdata2" ref="A2:G11">
    <sortCondition ref="F2:F1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0A44-00F6-4696-AAB7-AADA4C45CA57}">
  <dimension ref="B18:H24"/>
  <sheetViews>
    <sheetView showGridLines="0" workbookViewId="0">
      <selection activeCell="N37" sqref="N37"/>
    </sheetView>
  </sheetViews>
  <sheetFormatPr defaultRowHeight="14.5"/>
  <cols>
    <col min="2" max="2" width="19.1796875" bestFit="1" customWidth="1"/>
    <col min="3" max="3" width="10.453125" bestFit="1" customWidth="1"/>
  </cols>
  <sheetData>
    <row r="18" spans="2:8" ht="15.5" customHeight="1"/>
    <row r="19" spans="2:8" ht="18.5" customHeight="1">
      <c r="B19" s="4" t="s">
        <v>16</v>
      </c>
      <c r="C19" s="6">
        <v>98180</v>
      </c>
    </row>
    <row r="20" spans="2:8" ht="16" customHeight="1">
      <c r="B20" s="5" t="s">
        <v>15</v>
      </c>
      <c r="C20" s="8">
        <f ca="1">'Portfolio Data'!F14</f>
        <v>7.5144595792292932E-3</v>
      </c>
    </row>
    <row r="22" spans="2:8" ht="16">
      <c r="B22" s="7" t="s">
        <v>14</v>
      </c>
      <c r="C22" s="3">
        <f ca="1">'Portfolio Data'!E12*'Portfolio Data'!F14</f>
        <v>737.75592759999995</v>
      </c>
    </row>
    <row r="24" spans="2:8">
      <c r="B24" s="9" t="s">
        <v>17</v>
      </c>
      <c r="C24" s="9"/>
      <c r="D24" s="9"/>
      <c r="E24" s="9"/>
      <c r="F24" s="9"/>
      <c r="G24" s="9"/>
      <c r="H24" s="9"/>
    </row>
  </sheetData>
  <mergeCells count="1">
    <mergeCell ref="B24:H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9CC3-40DA-4F2F-B305-1187C8E37C97}">
  <dimension ref="A1:B7"/>
  <sheetViews>
    <sheetView workbookViewId="0">
      <selection activeCell="H18" sqref="H18"/>
    </sheetView>
  </sheetViews>
  <sheetFormatPr defaultRowHeight="14.5"/>
  <cols>
    <col min="1" max="1" width="22.54296875" bestFit="1" customWidth="1"/>
  </cols>
  <sheetData>
    <row r="1" spans="1:2">
      <c r="A1" s="19" t="s">
        <v>11</v>
      </c>
      <c r="B1" s="19"/>
    </row>
    <row r="3" spans="1:2">
      <c r="A3" s="18" t="s">
        <v>13</v>
      </c>
      <c r="B3" s="15">
        <v>0.03</v>
      </c>
    </row>
    <row r="4" spans="1:2">
      <c r="A4" s="18" t="s">
        <v>8</v>
      </c>
      <c r="B4" s="11">
        <v>1000</v>
      </c>
    </row>
    <row r="5" spans="1:2">
      <c r="A5" s="2"/>
    </row>
    <row r="6" spans="1:2">
      <c r="A6" s="18" t="s">
        <v>9</v>
      </c>
      <c r="B6" s="11">
        <v>252</v>
      </c>
    </row>
    <row r="7" spans="1:2">
      <c r="A7" s="18" t="s">
        <v>10</v>
      </c>
      <c r="B7" s="15">
        <v>0.02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Portfolio Data</vt:lpstr>
      <vt:lpstr>Dashboard</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Venessa D'souza</dc:creator>
  <cp:lastModifiedBy>Venessa D'souza</cp:lastModifiedBy>
  <cp:lastPrinted>2026-05-02T00:47:54Z</cp:lastPrinted>
  <dcterms:created xsi:type="dcterms:W3CDTF">2026-05-01T22:49:35Z</dcterms:created>
  <dcterms:modified xsi:type="dcterms:W3CDTF">2026-05-02T00:48:24Z</dcterms:modified>
</cp:coreProperties>
</file>